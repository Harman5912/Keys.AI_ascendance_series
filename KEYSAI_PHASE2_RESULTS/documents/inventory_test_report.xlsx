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2" hidden="1">'Data'!$B$3:$I$15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1F3A5F"/>
      <sz val="18"/>
    </font>
    <font>
      <name val="Calibri"/>
      <color rgb="006B7280"/>
      <sz val="8"/>
    </font>
    <font>
      <name val="Calibri"/>
      <b val="1"/>
      <color rgb="001F3A5F"/>
      <sz val="12"/>
    </font>
    <font>
      <name val="Calibri"/>
      <b val="1"/>
      <color rgb="00FFFFFF"/>
      <sz val="9"/>
    </font>
    <font>
      <name val="Calibri"/>
      <sz val="9"/>
    </font>
    <font>
      <b val="1"/>
      <color rgb="001F3A5F"/>
    </font>
    <font>
      <name val="Calibri"/>
      <b val="1"/>
      <color rgb="001F3A5F"/>
      <sz val="14"/>
    </font>
    <font>
      <b val="1"/>
      <color rgb="00FFFFFF"/>
    </font>
    <font>
      <color rgb="006B72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3EA"/>
      </patternFill>
    </fill>
    <fill>
      <patternFill patternType="solid">
        <fgColor rgb="00FBFAF6"/>
      </patternFill>
    </fill>
  </fills>
  <borders count="4">
    <border>
      <left/>
      <right/>
      <top/>
      <bottom/>
      <diagonal/>
    </border>
    <border>
      <bottom style="thin">
        <color rgb="00D8D2C4"/>
      </bottom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top style="medium">
        <color rgb="001F3A5F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" fontId="4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center"/>
    </xf>
    <xf numFmtId="0" fontId="8" fillId="4" borderId="2" pivotButton="0" quotePrefix="0" xfId="0"/>
    <xf numFmtId="3" fontId="8" fillId="4" borderId="2" pivotButton="0" quotePrefix="0" xfId="0"/>
    <xf numFmtId="164" fontId="8" fillId="4" borderId="2" pivotButton="0" quotePrefix="0" xfId="0"/>
    <xf numFmtId="1" fontId="8" fillId="4" borderId="2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" fontId="8" fillId="0" borderId="2" pivotButton="0" quotePrefix="0" xfId="0"/>
    <xf numFmtId="0" fontId="9" fillId="0" borderId="3" pivotButton="0" quotePrefix="0" xfId="0"/>
    <xf numFmtId="1" fontId="0" fillId="0" borderId="3" pivotButton="0" quotePrefix="0" xfId="0"/>
    <xf numFmtId="3" fontId="0" fillId="0" borderId="3" pivotButton="0" quotePrefix="0" xfId="0"/>
    <xf numFmtId="164" fontId="0" fillId="0" borderId="3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2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12" fillId="0" borderId="0" pivotButton="0" quotePrefix="0" xfId="0"/>
    <xf numFmtId="3" fontId="0" fillId="0" borderId="2" pivotButton="0" quotePrefix="0" xfId="0"/>
    <xf numFmtId="0" fontId="13" fillId="0" borderId="0" pivotButton="0" quotePrefix="0" xfId="0"/>
    <xf numFmtId="165" fontId="0" fillId="3" borderId="2" pivotButton="0" quotePrefix="0" xfId="0"/>
    <xf numFmtId="1" fontId="0" fillId="3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 hand vs reorder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'Dashboard'!F11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'Dashboard'!$F$12:$F$23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 by SKU (months)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 w="28000">
              <a:solidFill>
                <a:srgbClr val="C810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'Trend'!$A$4:$A$15</f>
            </numRef>
          </cat>
          <val>
            <numRef>
              <f>'Trend'!$B$4:$B$15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B3:I15" headerRowCount="1">
  <autoFilter ref="B3:I15"/>
  <tableColumns count="8">
    <tableColumn id="2" name="SKU"/>
    <tableColumn id="3" name="On hand"/>
    <tableColumn id="4" name="Monthly demand"/>
    <tableColumn id="5" name="Cover (months)"/>
    <tableColumn id="6" name="Reorder point"/>
    <tableColumn id="7" name="Lead time (days)"/>
    <tableColumn id="8" name="Supplier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Inventory Test Report</t>
        </is>
      </c>
    </row>
    <row r="3">
      <c r="B3" s="2" t="inlineStr">
        <is>
          <t>warehouse: SKU-level on hand, monthly demand, cover in months, reorder  ·  prepared 22 October 2026  ·  USD</t>
        </is>
      </c>
    </row>
    <row r="5">
      <c r="B5" s="3" t="inlineStr">
        <is>
          <t>SKUs</t>
        </is>
      </c>
      <c r="C5" s="4" t="n"/>
      <c r="D5" s="3" t="inlineStr">
        <is>
          <t>Units on hand</t>
        </is>
      </c>
      <c r="E5" s="4" t="n"/>
      <c r="F5" s="3" t="inlineStr">
        <is>
          <t>Months cover</t>
        </is>
      </c>
      <c r="G5" s="4" t="n"/>
      <c r="H5" s="3" t="inlineStr">
        <is>
          <t>Reorder alerts</t>
        </is>
      </c>
      <c r="I5" s="4" t="n"/>
    </row>
    <row r="6" ht="30" customHeight="1">
      <c r="B6" s="5">
        <f>COUNTA(Data!B4:B15)</f>
        <v/>
      </c>
      <c r="C6" s="4" t="n"/>
      <c r="D6" s="6">
        <f>SUM(Data!C4:C15)</f>
        <v/>
      </c>
      <c r="E6" s="4" t="n"/>
      <c r="F6" s="7">
        <f>IFERROR(SUM(Data!C4:C15)/SUM(Data!D4:D15),0)</f>
        <v/>
      </c>
      <c r="G6" s="4" t="n"/>
      <c r="H6" s="5">
        <f>SUMPRODUCT(--(Data!C4:C15&lt;Data!F4:F15))</f>
        <v/>
      </c>
      <c r="I6" s="4" t="n"/>
    </row>
    <row r="7">
      <c r="B7" s="8" t="inlineStr">
        <is>
          <t>Active product lines</t>
        </is>
      </c>
      <c r="C7" s="9" t="n"/>
      <c r="D7" s="8" t="inlineStr">
        <is>
          <t>Physical stock</t>
        </is>
      </c>
      <c r="E7" s="9" t="n"/>
      <c r="F7" s="8" t="inlineStr">
        <is>
          <t>Aggregate cover</t>
        </is>
      </c>
      <c r="G7" s="9" t="n"/>
      <c r="H7" s="8" t="inlineStr">
        <is>
          <t>Below reorder point</t>
        </is>
      </c>
      <c r="I7" s="9" t="n"/>
    </row>
    <row r="10">
      <c r="B10" s="10" t="inlineStr">
        <is>
          <t>Stock cover and reorder points</t>
        </is>
      </c>
    </row>
    <row r="11">
      <c r="B11" s="11" t="inlineStr">
        <is>
          <t>SKU</t>
        </is>
      </c>
      <c r="C11" s="11" t="inlineStr">
        <is>
          <t>On hand</t>
        </is>
      </c>
      <c r="D11" s="11" t="inlineStr">
        <is>
          <t>Monthly demand</t>
        </is>
      </c>
      <c r="E11" s="11" t="inlineStr">
        <is>
          <t>Cover (months)</t>
        </is>
      </c>
      <c r="F11" s="11" t="inlineStr">
        <is>
          <t>Reorder point</t>
        </is>
      </c>
      <c r="G11" s="11" t="inlineStr">
        <is>
          <t>Lead time (days)</t>
        </is>
      </c>
      <c r="H11" s="11" t="inlineStr">
        <is>
          <t>Supplier</t>
        </is>
      </c>
    </row>
    <row r="12">
      <c r="B12" s="12" t="inlineStr">
        <is>
          <t>FF-BIRD-14</t>
        </is>
      </c>
      <c r="C12" s="13" t="n">
        <v>148</v>
      </c>
      <c r="D12" s="13" t="n">
        <v>46</v>
      </c>
      <c r="E12" s="14">
        <f>IFERROR(C12/D12,0)</f>
        <v/>
      </c>
      <c r="F12" s="13">
        <f>ROUND(D12*2,0)</f>
        <v/>
      </c>
      <c r="G12" s="15" t="n">
        <v>21</v>
      </c>
      <c r="H12" s="12" t="inlineStr">
        <is>
          <t>Glasshouse</t>
        </is>
      </c>
    </row>
    <row r="13">
      <c r="B13" s="16" t="inlineStr">
        <is>
          <t>FF-POTH-17</t>
        </is>
      </c>
      <c r="C13" s="17" t="n">
        <v>96</v>
      </c>
      <c r="D13" s="17" t="n">
        <v>38</v>
      </c>
      <c r="E13" s="18">
        <f>IFERROR(C13/D13,0)</f>
        <v/>
      </c>
      <c r="F13" s="17">
        <f>ROUND(D13*2,0)</f>
        <v/>
      </c>
      <c r="G13" s="19" t="n">
        <v>18</v>
      </c>
      <c r="H13" s="16" t="inlineStr">
        <is>
          <t>Glasshouse</t>
        </is>
      </c>
    </row>
    <row r="14">
      <c r="B14" s="12" t="inlineStr">
        <is>
          <t>FF-ZZ-14</t>
        </is>
      </c>
      <c r="C14" s="13" t="n">
        <v>64</v>
      </c>
      <c r="D14" s="13" t="n">
        <v>21</v>
      </c>
      <c r="E14" s="14">
        <f>IFERROR(C14/D14,0)</f>
        <v/>
      </c>
      <c r="F14" s="13">
        <f>ROUND(D14*2,0)</f>
        <v/>
      </c>
      <c r="G14" s="15" t="n">
        <v>28</v>
      </c>
      <c r="H14" s="12" t="inlineStr">
        <is>
          <t>North Growers</t>
        </is>
      </c>
    </row>
    <row r="15">
      <c r="B15" s="16" t="inlineStr">
        <is>
          <t>FF-HEART-12</t>
        </is>
      </c>
      <c r="C15" s="17" t="n">
        <v>210</v>
      </c>
      <c r="D15" s="17" t="n">
        <v>74</v>
      </c>
      <c r="E15" s="18">
        <f>IFERROR(C15/D15,0)</f>
        <v/>
      </c>
      <c r="F15" s="17">
        <f>ROUND(D15*2,0)</f>
        <v/>
      </c>
      <c r="G15" s="19" t="n">
        <v>14</v>
      </c>
      <c r="H15" s="16" t="inlineStr">
        <is>
          <t>Cuttings Co.</t>
        </is>
      </c>
    </row>
    <row r="16">
      <c r="B16" s="12" t="inlineStr">
        <is>
          <t>FF-HART-17</t>
        </is>
      </c>
      <c r="C16" s="13" t="n">
        <v>88</v>
      </c>
      <c r="D16" s="13" t="n">
        <v>26</v>
      </c>
      <c r="E16" s="14">
        <f>IFERROR(C16/D16,0)</f>
        <v/>
      </c>
      <c r="F16" s="13">
        <f>ROUND(D16*2,0)</f>
        <v/>
      </c>
      <c r="G16" s="15" t="n">
        <v>24</v>
      </c>
      <c r="H16" s="12" t="inlineStr">
        <is>
          <t>Glasshouse</t>
        </is>
      </c>
    </row>
    <row r="17">
      <c r="B17" s="16" t="inlineStr">
        <is>
          <t>FF-RUBBER-21</t>
        </is>
      </c>
      <c r="C17" s="17" t="n">
        <v>42</v>
      </c>
      <c r="D17" s="17" t="n">
        <v>18</v>
      </c>
      <c r="E17" s="18">
        <f>IFERROR(C17/D17,0)</f>
        <v/>
      </c>
      <c r="F17" s="17">
        <f>ROUND(D17*2,0)</f>
        <v/>
      </c>
      <c r="G17" s="19" t="n">
        <v>30</v>
      </c>
      <c r="H17" s="16" t="inlineStr">
        <is>
          <t>North Growers</t>
        </is>
      </c>
    </row>
    <row r="18">
      <c r="B18" s="12" t="inlineStr">
        <is>
          <t>FF-FERN-14</t>
        </is>
      </c>
      <c r="C18" s="13" t="n">
        <v>132</v>
      </c>
      <c r="D18" s="13" t="n">
        <v>52</v>
      </c>
      <c r="E18" s="14">
        <f>IFERROR(C18/D18,0)</f>
        <v/>
      </c>
      <c r="F18" s="13">
        <f>ROUND(D18*2,0)</f>
        <v/>
      </c>
      <c r="G18" s="15" t="n">
        <v>16</v>
      </c>
      <c r="H18" s="12" t="inlineStr">
        <is>
          <t>Cuttings Co.</t>
        </is>
      </c>
    </row>
    <row r="19">
      <c r="B19" s="16" t="inlineStr">
        <is>
          <t>FF-OLIVE-24</t>
        </is>
      </c>
      <c r="C19" s="17" t="n">
        <v>37</v>
      </c>
      <c r="D19" s="17" t="n">
        <v>12</v>
      </c>
      <c r="E19" s="18">
        <f>IFERROR(C19/D19,0)</f>
        <v/>
      </c>
      <c r="F19" s="17">
        <f>ROUND(D19*2,0)</f>
        <v/>
      </c>
      <c r="G19" s="19" t="n">
        <v>35</v>
      </c>
      <c r="H19" s="16" t="inlineStr">
        <is>
          <t>North Growers</t>
        </is>
      </c>
    </row>
    <row r="20">
      <c r="B20" s="12" t="inlineStr">
        <is>
          <t>FF-PILEA-12</t>
        </is>
      </c>
      <c r="C20" s="13" t="n">
        <v>176</v>
      </c>
      <c r="D20" s="13" t="n">
        <v>61</v>
      </c>
      <c r="E20" s="14">
        <f>IFERROR(C20/D20,0)</f>
        <v/>
      </c>
      <c r="F20" s="13">
        <f>ROUND(D20*2,0)</f>
        <v/>
      </c>
      <c r="G20" s="15" t="n">
        <v>15</v>
      </c>
      <c r="H20" s="12" t="inlineStr">
        <is>
          <t>Cuttings Co.</t>
        </is>
      </c>
    </row>
    <row r="21">
      <c r="B21" s="16" t="inlineStr">
        <is>
          <t>FF-CACTUS-9</t>
        </is>
      </c>
      <c r="C21" s="17" t="n">
        <v>120</v>
      </c>
      <c r="D21" s="17" t="n">
        <v>33</v>
      </c>
      <c r="E21" s="18">
        <f>IFERROR(C21/D21,0)</f>
        <v/>
      </c>
      <c r="F21" s="17">
        <f>ROUND(D21*2,0)</f>
        <v/>
      </c>
      <c r="G21" s="19" t="n">
        <v>19</v>
      </c>
      <c r="H21" s="16" t="inlineStr">
        <is>
          <t>Desert House</t>
        </is>
      </c>
    </row>
    <row r="22">
      <c r="B22" s="12" t="inlineStr">
        <is>
          <t>FF-MOSS-6</t>
        </is>
      </c>
      <c r="C22" s="13" t="n">
        <v>240</v>
      </c>
      <c r="D22" s="13" t="n">
        <v>80</v>
      </c>
      <c r="E22" s="14">
        <f>IFERROR(C22/D22,0)</f>
        <v/>
      </c>
      <c r="F22" s="13">
        <f>ROUND(D22*2,0)</f>
        <v/>
      </c>
      <c r="G22" s="15" t="n">
        <v>10</v>
      </c>
      <c r="H22" s="12" t="inlineStr">
        <is>
          <t>Cuttings Co.</t>
        </is>
      </c>
    </row>
    <row r="23">
      <c r="B23" s="16" t="inlineStr">
        <is>
          <t>FF-POT-14</t>
        </is>
      </c>
      <c r="C23" s="17" t="n">
        <v>310</v>
      </c>
      <c r="D23" s="17" t="n">
        <v>95</v>
      </c>
      <c r="E23" s="18">
        <f>IFERROR(C23/D23,0)</f>
        <v/>
      </c>
      <c r="F23" s="17">
        <f>ROUND(D23*2,0)</f>
        <v/>
      </c>
      <c r="G23" s="19" t="n">
        <v>7</v>
      </c>
      <c r="H23" s="16" t="inlineStr">
        <is>
          <t>Clay Works</t>
        </is>
      </c>
    </row>
    <row r="24">
      <c r="B24" s="20" t="inlineStr">
        <is>
          <t>Total</t>
        </is>
      </c>
      <c r="C24" s="21">
        <f>SUM(C12:C23)</f>
        <v/>
      </c>
      <c r="D24" s="22">
        <f>SUM(D12:D23)</f>
        <v/>
      </c>
      <c r="E24" s="23">
        <f>IFERROR(C24/(D24/12),0)</f>
        <v/>
      </c>
      <c r="F24" s="22">
        <f>SUM(F12:F23)</f>
        <v/>
      </c>
      <c r="G24" s="23">
        <f>AVERAGE(G12:G23)</f>
        <v/>
      </c>
      <c r="H24" s="24" t="n"/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5" t="inlineStr">
        <is>
          <t>Cover by SKU (months)</t>
        </is>
      </c>
    </row>
    <row r="3">
      <c r="A3" s="26" t="inlineStr">
        <is>
          <t>SKU</t>
        </is>
      </c>
      <c r="B3" s="26" t="inlineStr">
        <is>
          <t>Cover</t>
        </is>
      </c>
    </row>
    <row r="4">
      <c r="A4" s="27" t="inlineStr">
        <is>
          <t>FF-BIRD-14</t>
        </is>
      </c>
      <c r="B4" s="28">
        <f>'Dashboard'!E12</f>
        <v/>
      </c>
    </row>
    <row r="5">
      <c r="A5" s="27" t="inlineStr">
        <is>
          <t>FF-POTH-17</t>
        </is>
      </c>
      <c r="B5" s="28">
        <f>'Dashboard'!E13</f>
        <v/>
      </c>
    </row>
    <row r="6">
      <c r="A6" s="27" t="inlineStr">
        <is>
          <t>FF-ZZ-14</t>
        </is>
      </c>
      <c r="B6" s="28">
        <f>'Dashboard'!E14</f>
        <v/>
      </c>
    </row>
    <row r="7">
      <c r="A7" s="27" t="inlineStr">
        <is>
          <t>FF-HEART-12</t>
        </is>
      </c>
      <c r="B7" s="28">
        <f>'Dashboard'!E15</f>
        <v/>
      </c>
    </row>
    <row r="8">
      <c r="A8" s="27" t="inlineStr">
        <is>
          <t>FF-HART-17</t>
        </is>
      </c>
      <c r="B8" s="28">
        <f>'Dashboard'!E16</f>
        <v/>
      </c>
    </row>
    <row r="9">
      <c r="A9" s="27" t="inlineStr">
        <is>
          <t>FF-RUBBER-21</t>
        </is>
      </c>
      <c r="B9" s="28">
        <f>'Dashboard'!E17</f>
        <v/>
      </c>
    </row>
    <row r="10">
      <c r="A10" s="27" t="inlineStr">
        <is>
          <t>FF-FERN-14</t>
        </is>
      </c>
      <c r="B10" s="28">
        <f>'Dashboard'!E18</f>
        <v/>
      </c>
    </row>
    <row r="11">
      <c r="A11" s="27" t="inlineStr">
        <is>
          <t>FF-OLIVE-24</t>
        </is>
      </c>
      <c r="B11" s="28">
        <f>'Dashboard'!E19</f>
        <v/>
      </c>
    </row>
    <row r="12">
      <c r="A12" s="27" t="inlineStr">
        <is>
          <t>FF-PILEA-12</t>
        </is>
      </c>
      <c r="B12" s="28">
        <f>'Dashboard'!E20</f>
        <v/>
      </c>
    </row>
    <row r="13">
      <c r="A13" s="27" t="inlineStr">
        <is>
          <t>FF-CACTUS-9</t>
        </is>
      </c>
      <c r="B13" s="28">
        <f>'Dashboard'!E21</f>
        <v/>
      </c>
    </row>
    <row r="14">
      <c r="A14" s="27" t="inlineStr">
        <is>
          <t>FF-MOSS-6</t>
        </is>
      </c>
      <c r="B14" s="28">
        <f>'Dashboard'!E22</f>
        <v/>
      </c>
    </row>
    <row r="15">
      <c r="A15" s="27" t="inlineStr">
        <is>
          <t>FF-POT-14</t>
        </is>
      </c>
      <c r="B15" s="28">
        <f>'Dashboard'!E23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</cols>
  <sheetData>
    <row r="1">
      <c r="A1" s="25" t="inlineStr">
        <is>
          <t>Stock cover and reorder points</t>
        </is>
      </c>
    </row>
    <row r="2">
      <c r="A2" s="29" t="inlineStr">
        <is>
          <t>Edit on-hand and monthly demand; cover and reorder flags recalculate.</t>
        </is>
      </c>
    </row>
    <row r="3">
      <c r="B3" s="26" t="inlineStr">
        <is>
          <t>SKU</t>
        </is>
      </c>
      <c r="C3" s="26" t="inlineStr">
        <is>
          <t>On hand</t>
        </is>
      </c>
      <c r="D3" s="26" t="inlineStr">
        <is>
          <t>Monthly demand</t>
        </is>
      </c>
      <c r="E3" s="26" t="inlineStr">
        <is>
          <t>Cover (months)</t>
        </is>
      </c>
      <c r="F3" s="26" t="inlineStr">
        <is>
          <t>Reorder point</t>
        </is>
      </c>
      <c r="G3" s="26" t="inlineStr">
        <is>
          <t>Lead time (days)</t>
        </is>
      </c>
      <c r="H3" s="26" t="inlineStr">
        <is>
          <t>Supplier</t>
        </is>
      </c>
      <c r="I3" s="26" t="inlineStr">
        <is>
          <t>Notes</t>
        </is>
      </c>
    </row>
    <row r="4">
      <c r="B4" s="27" t="inlineStr">
        <is>
          <t>FF-BIRD-14</t>
        </is>
      </c>
      <c r="C4" s="30" t="n">
        <v>148</v>
      </c>
      <c r="D4" s="30" t="n">
        <v>46</v>
      </c>
      <c r="E4" s="28">
        <f>IFERROR(C4/D4,0)</f>
        <v/>
      </c>
      <c r="F4" s="30">
        <f>ROUND(D4*2,0)</f>
        <v/>
      </c>
      <c r="G4" s="30" t="n">
        <v>21</v>
      </c>
      <c r="H4" s="27" t="inlineStr">
        <is>
          <t>Glasshouse</t>
        </is>
      </c>
      <c r="I4" s="27" t="inlineStr">
        <is>
          <t>Core</t>
        </is>
      </c>
    </row>
    <row r="5">
      <c r="B5" s="27" t="inlineStr">
        <is>
          <t>FF-POTH-17</t>
        </is>
      </c>
      <c r="C5" s="30" t="n">
        <v>96</v>
      </c>
      <c r="D5" s="30" t="n">
        <v>38</v>
      </c>
      <c r="E5" s="28">
        <f>IFERROR(C5/D5,0)</f>
        <v/>
      </c>
      <c r="F5" s="30">
        <f>ROUND(D5*2,0)</f>
        <v/>
      </c>
      <c r="G5" s="30" t="n">
        <v>18</v>
      </c>
      <c r="H5" s="27" t="inlineStr">
        <is>
          <t>Glasshouse</t>
        </is>
      </c>
      <c r="I5" s="27" t="inlineStr">
        <is>
          <t>Core</t>
        </is>
      </c>
    </row>
    <row r="6">
      <c r="B6" s="27" t="inlineStr">
        <is>
          <t>FF-ZZ-14</t>
        </is>
      </c>
      <c r="C6" s="30" t="n">
        <v>64</v>
      </c>
      <c r="D6" s="30" t="n">
        <v>21</v>
      </c>
      <c r="E6" s="28">
        <f>IFERROR(C6/D6,0)</f>
        <v/>
      </c>
      <c r="F6" s="30">
        <f>ROUND(D6*2,0)</f>
        <v/>
      </c>
      <c r="G6" s="30" t="n">
        <v>28</v>
      </c>
      <c r="H6" s="27" t="inlineStr">
        <is>
          <t>North Growers</t>
        </is>
      </c>
      <c r="I6" s="27" t="inlineStr">
        <is>
          <t>Slow</t>
        </is>
      </c>
    </row>
    <row r="7">
      <c r="B7" s="27" t="inlineStr">
        <is>
          <t>FF-HEART-12</t>
        </is>
      </c>
      <c r="C7" s="30" t="n">
        <v>210</v>
      </c>
      <c r="D7" s="30" t="n">
        <v>74</v>
      </c>
      <c r="E7" s="28">
        <f>IFERROR(C7/D7,0)</f>
        <v/>
      </c>
      <c r="F7" s="30">
        <f>ROUND(D7*2,0)</f>
        <v/>
      </c>
      <c r="G7" s="30" t="n">
        <v>14</v>
      </c>
      <c r="H7" s="27" t="inlineStr">
        <is>
          <t>Cuttings Co.</t>
        </is>
      </c>
      <c r="I7" s="27" t="inlineStr">
        <is>
          <t>Core</t>
        </is>
      </c>
    </row>
    <row r="8">
      <c r="B8" s="27" t="inlineStr">
        <is>
          <t>FF-HART-17</t>
        </is>
      </c>
      <c r="C8" s="30" t="n">
        <v>88</v>
      </c>
      <c r="D8" s="30" t="n">
        <v>26</v>
      </c>
      <c r="E8" s="28">
        <f>IFERROR(C8/D8,0)</f>
        <v/>
      </c>
      <c r="F8" s="30">
        <f>ROUND(D8*2,0)</f>
        <v/>
      </c>
      <c r="G8" s="30" t="n">
        <v>24</v>
      </c>
      <c r="H8" s="27" t="inlineStr">
        <is>
          <t>Glasshouse</t>
        </is>
      </c>
      <c r="I8" s="27" t="inlineStr">
        <is>
          <t>Seasonal</t>
        </is>
      </c>
    </row>
    <row r="9">
      <c r="B9" s="27" t="inlineStr">
        <is>
          <t>FF-RUBBER-21</t>
        </is>
      </c>
      <c r="C9" s="30" t="n">
        <v>42</v>
      </c>
      <c r="D9" s="30" t="n">
        <v>18</v>
      </c>
      <c r="E9" s="28">
        <f>IFERROR(C9/D9,0)</f>
        <v/>
      </c>
      <c r="F9" s="30">
        <f>ROUND(D9*2,0)</f>
        <v/>
      </c>
      <c r="G9" s="30" t="n">
        <v>30</v>
      </c>
      <c r="H9" s="27" t="inlineStr">
        <is>
          <t>North Growers</t>
        </is>
      </c>
      <c r="I9" s="27" t="inlineStr">
        <is>
          <t>Statement</t>
        </is>
      </c>
    </row>
    <row r="10">
      <c r="B10" s="27" t="inlineStr">
        <is>
          <t>FF-FERN-14</t>
        </is>
      </c>
      <c r="C10" s="30" t="n">
        <v>132</v>
      </c>
      <c r="D10" s="30" t="n">
        <v>52</v>
      </c>
      <c r="E10" s="28">
        <f>IFERROR(C10/D10,0)</f>
        <v/>
      </c>
      <c r="F10" s="30">
        <f>ROUND(D10*2,0)</f>
        <v/>
      </c>
      <c r="G10" s="30" t="n">
        <v>16</v>
      </c>
      <c r="H10" s="27" t="inlineStr">
        <is>
          <t>Cuttings Co.</t>
        </is>
      </c>
      <c r="I10" s="27" t="inlineStr">
        <is>
          <t>Seasonal</t>
        </is>
      </c>
    </row>
    <row r="11">
      <c r="B11" s="27" t="inlineStr">
        <is>
          <t>FF-OLIVE-24</t>
        </is>
      </c>
      <c r="C11" s="30" t="n">
        <v>37</v>
      </c>
      <c r="D11" s="30" t="n">
        <v>12</v>
      </c>
      <c r="E11" s="28">
        <f>IFERROR(C11/D11,0)</f>
        <v/>
      </c>
      <c r="F11" s="30">
        <f>ROUND(D11*2,0)</f>
        <v/>
      </c>
      <c r="G11" s="30" t="n">
        <v>35</v>
      </c>
      <c r="H11" s="27" t="inlineStr">
        <is>
          <t>North Growers</t>
        </is>
      </c>
      <c r="I11" s="27" t="inlineStr">
        <is>
          <t>Statement</t>
        </is>
      </c>
    </row>
    <row r="12">
      <c r="B12" s="27" t="inlineStr">
        <is>
          <t>FF-PILEA-12</t>
        </is>
      </c>
      <c r="C12" s="30" t="n">
        <v>176</v>
      </c>
      <c r="D12" s="30" t="n">
        <v>61</v>
      </c>
      <c r="E12" s="28">
        <f>IFERROR(C12/D12,0)</f>
        <v/>
      </c>
      <c r="F12" s="30">
        <f>ROUND(D12*2,0)</f>
        <v/>
      </c>
      <c r="G12" s="30" t="n">
        <v>15</v>
      </c>
      <c r="H12" s="27" t="inlineStr">
        <is>
          <t>Cuttings Co.</t>
        </is>
      </c>
      <c r="I12" s="27" t="inlineStr">
        <is>
          <t>Core</t>
        </is>
      </c>
    </row>
    <row r="13">
      <c r="B13" s="27" t="inlineStr">
        <is>
          <t>FF-CACTUS-9</t>
        </is>
      </c>
      <c r="C13" s="30" t="n">
        <v>120</v>
      </c>
      <c r="D13" s="30" t="n">
        <v>33</v>
      </c>
      <c r="E13" s="28">
        <f>IFERROR(C13/D13,0)</f>
        <v/>
      </c>
      <c r="F13" s="30">
        <f>ROUND(D13*2,0)</f>
        <v/>
      </c>
      <c r="G13" s="30" t="n">
        <v>19</v>
      </c>
      <c r="H13" s="27" t="inlineStr">
        <is>
          <t>Desert House</t>
        </is>
      </c>
      <c r="I13" s="27" t="inlineStr">
        <is>
          <t>Gift</t>
        </is>
      </c>
    </row>
    <row r="14">
      <c r="B14" s="27" t="inlineStr">
        <is>
          <t>FF-MOSS-6</t>
        </is>
      </c>
      <c r="C14" s="30" t="n">
        <v>240</v>
      </c>
      <c r="D14" s="30" t="n">
        <v>80</v>
      </c>
      <c r="E14" s="28">
        <f>IFERROR(C14/D14,0)</f>
        <v/>
      </c>
      <c r="F14" s="30">
        <f>ROUND(D14*2,0)</f>
        <v/>
      </c>
      <c r="G14" s="30" t="n">
        <v>10</v>
      </c>
      <c r="H14" s="27" t="inlineStr">
        <is>
          <t>Cuttings Co.</t>
        </is>
      </c>
      <c r="I14" s="27" t="inlineStr">
        <is>
          <t>Seasonal</t>
        </is>
      </c>
    </row>
    <row r="15">
      <c r="B15" s="27" t="inlineStr">
        <is>
          <t>FF-POT-14</t>
        </is>
      </c>
      <c r="C15" s="30" t="n">
        <v>310</v>
      </c>
      <c r="D15" s="30" t="n">
        <v>95</v>
      </c>
      <c r="E15" s="28">
        <f>IFERROR(C15/D15,0)</f>
        <v/>
      </c>
      <c r="F15" s="30">
        <f>ROUND(D15*2,0)</f>
        <v/>
      </c>
      <c r="G15" s="30" t="n">
        <v>7</v>
      </c>
      <c r="H15" s="27" t="inlineStr">
        <is>
          <t>Clay Works</t>
        </is>
      </c>
      <c r="I15" s="27" t="inlineStr">
        <is>
          <t>Pot</t>
        </is>
      </c>
    </row>
  </sheetData>
  <autoFilter ref="B3:I15"/>
  <conditionalFormatting sqref="E4:E15">
    <cfRule type="dataBar" priority="1">
      <dataBar>
        <cfvo type="min"/>
        <cfvo type="max"/>
        <color rgb="00C9A22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5" t="inlineStr">
        <is>
          <t>Assumptions and controls</t>
        </is>
      </c>
    </row>
    <row r="3">
      <c r="A3" s="31" t="inlineStr">
        <is>
          <t>Safety stock</t>
        </is>
      </c>
      <c r="B3" s="32" t="n">
        <v>0.2</v>
      </c>
    </row>
    <row r="4">
      <c r="A4" s="31" t="inlineStr">
        <is>
          <t>Seasonal uplift</t>
        </is>
      </c>
      <c r="B4" s="32" t="n">
        <v>0.15</v>
      </c>
    </row>
    <row r="5">
      <c r="A5" s="31" t="inlineStr">
        <is>
          <t>Shrinkage</t>
        </is>
      </c>
      <c r="B5" s="32" t="n">
        <v>0.03</v>
      </c>
    </row>
    <row r="6">
      <c r="A6" s="31" t="inlineStr">
        <is>
          <t>Reorder multiple</t>
        </is>
      </c>
      <c r="B6" s="33" t="n">
        <v>24</v>
      </c>
    </row>
    <row r="7">
      <c r="A7" s="31" t="inlineStr">
        <is>
          <t>Lead time buffer (days)</t>
        </is>
      </c>
      <c r="B7" s="33" t="n">
        <v>5</v>
      </c>
    </row>
    <row r="10">
      <c r="A10" s="34" t="inlineStr">
        <is>
          <t>Notes</t>
        </is>
      </c>
    </row>
    <row r="11">
      <c r="A11" s="29" t="inlineStr">
        <is>
          <t>All values are fictional and internally consistent for demonstration.</t>
        </is>
      </c>
    </row>
    <row r="12">
      <c r="A12" s="29" t="inlineStr">
        <is>
          <t>Dashboard totals use live formulas; edits in Data recalculate the view.</t>
        </is>
      </c>
    </row>
    <row r="13">
      <c r="A13" s="29" t="inlineStr">
        <is>
          <t>No external links, macros or cached secrets are present in this workbook.</t>
        </is>
      </c>
    </row>
    <row r="14">
      <c r="A14" s="29" t="inlineStr">
        <is>
          <t>Workbook mode: inventory; chart series are bound to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2026-10-22T14:55:31Z</dcterms:created>
  <dcterms:modified xmlns:dcterms="http://purl.org/dc/terms/" xmlns:xsi="http://www.w3.org/2001/XMLSchema-instance" xsi:type="dcterms:W3CDTF">2026-10-22T14:55:31Z</dcterms:modified>
</cp:coreProperties>
</file>