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end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Assumptions" sheetId="4" state="visible" r:id="rId4"/>
  </sheets>
  <definedNames>
    <definedName name="_xlnm._FilterDatabase" localSheetId="2" hidden="1">'Data'!$A$3:$H$15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6B7280"/>
      <sz val="9"/>
    </font>
    <font>
      <name val="Calibri"/>
      <b val="1"/>
      <color rgb="006B7280"/>
      <sz val="9"/>
    </font>
    <font>
      <name val="Calibri"/>
      <b val="1"/>
      <color rgb="001F3A5F"/>
      <sz val="18"/>
    </font>
    <font>
      <name val="Calibri"/>
      <color rgb="006B7280"/>
      <sz val="8"/>
    </font>
    <font>
      <name val="Calibri"/>
      <b val="1"/>
      <color rgb="001F3A5F"/>
      <sz val="12"/>
    </font>
    <font>
      <name val="Calibri"/>
      <b val="1"/>
      <color rgb="00FFFFFF"/>
      <sz val="9"/>
    </font>
    <font>
      <name val="Calibri"/>
      <sz val="9"/>
    </font>
    <font>
      <b val="1"/>
      <color rgb="001F3A5F"/>
    </font>
    <font>
      <name val="Calibri"/>
      <b val="1"/>
      <color rgb="001F3A5F"/>
      <sz val="14"/>
    </font>
    <font>
      <b val="1"/>
      <color rgb="00FFFFFF"/>
    </font>
    <font>
      <color rgb="006B7280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6F3EA"/>
      </patternFill>
    </fill>
    <fill>
      <patternFill patternType="solid">
        <fgColor rgb="00FBFAF6"/>
      </patternFill>
    </fill>
  </fills>
  <borders count="4">
    <border>
      <left/>
      <right/>
      <top/>
      <bottom/>
      <diagonal/>
    </border>
    <border>
      <bottom style="thin">
        <color rgb="00D8D2C4"/>
      </bottom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  <border>
      <top style="medium">
        <color rgb="001F3A5F"/>
      </top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/>
    </xf>
    <xf numFmtId="0" fontId="0" fillId="3" borderId="0" pivotButton="0" quotePrefix="0" xfId="0"/>
    <xf numFmtId="164" fontId="4" fillId="3" borderId="0" applyAlignment="1" pivotButton="0" quotePrefix="0" xfId="0">
      <alignment horizontal="left"/>
    </xf>
    <xf numFmtId="165" fontId="4" fillId="3" borderId="0" applyAlignment="1" pivotButton="0" quotePrefix="0" xfId="0">
      <alignment horizontal="left"/>
    </xf>
    <xf numFmtId="3" fontId="4" fillId="3" borderId="0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0" fillId="3" borderId="1" pivotButton="0" quotePrefix="0" xfId="0"/>
    <xf numFmtId="0" fontId="6" fillId="0" borderId="0" pivotButton="0" quotePrefix="0" xfId="0"/>
    <xf numFmtId="0" fontId="7" fillId="2" borderId="2" applyAlignment="1" pivotButton="0" quotePrefix="0" xfId="0">
      <alignment horizontal="center"/>
    </xf>
    <xf numFmtId="0" fontId="8" fillId="4" borderId="2" pivotButton="0" quotePrefix="0" xfId="0"/>
    <xf numFmtId="164" fontId="8" fillId="4" borderId="2" pivotButton="0" quotePrefix="0" xfId="0"/>
    <xf numFmtId="165" fontId="8" fillId="4" borderId="2" pivotButton="0" quotePrefix="0" xfId="0"/>
    <xf numFmtId="3" fontId="8" fillId="4" borderId="2" pivotButton="0" quotePrefix="0" xfId="0"/>
    <xf numFmtId="0" fontId="8" fillId="0" borderId="2" pivotButton="0" quotePrefix="0" xfId="0"/>
    <xf numFmtId="164" fontId="8" fillId="0" borderId="2" pivotButton="0" quotePrefix="0" xfId="0"/>
    <xf numFmtId="165" fontId="8" fillId="0" borderId="2" pivotButton="0" quotePrefix="0" xfId="0"/>
    <xf numFmtId="3" fontId="8" fillId="0" borderId="2" pivotButton="0" quotePrefix="0" xfId="0"/>
    <xf numFmtId="0" fontId="9" fillId="0" borderId="3" pivotButton="0" quotePrefix="0" xfId="0"/>
    <xf numFmtId="164" fontId="0" fillId="0" borderId="3" pivotButton="0" quotePrefix="0" xfId="0"/>
    <xf numFmtId="3" fontId="0" fillId="0" borderId="3" pivotButton="0" quotePrefix="0" xfId="0"/>
    <xf numFmtId="165" fontId="0" fillId="0" borderId="3" pivotButton="0" quotePrefix="0" xfId="0"/>
    <xf numFmtId="0" fontId="0" fillId="0" borderId="3" pivotButton="0" quotePrefix="0" xfId="0"/>
    <xf numFmtId="0" fontId="10" fillId="0" borderId="0" pivotButton="0" quotePrefix="0" xfId="0"/>
    <xf numFmtId="0" fontId="11" fillId="2" borderId="2" pivotButton="0" quotePrefix="0" xfId="0"/>
    <xf numFmtId="0" fontId="0" fillId="0" borderId="2" pivotButton="0" quotePrefix="0" xfId="0"/>
    <xf numFmtId="165" fontId="0" fillId="0" borderId="2" pivotButton="0" quotePrefix="0" xfId="0"/>
    <xf numFmtId="0" fontId="12" fillId="0" borderId="0" pivotButton="0" quotePrefix="0" xfId="0"/>
    <xf numFmtId="164" fontId="0" fillId="0" borderId="2" pivotButton="0" quotePrefix="0" xfId="0"/>
    <xf numFmtId="3" fontId="0" fillId="0" borderId="2" pivotButton="0" quotePrefix="0" xfId="0"/>
    <xf numFmtId="0" fontId="13" fillId="0" borderId="0" pivotButton="0" quotePrefix="0" xfId="0"/>
    <xf numFmtId="165" fontId="0" fillId="3" borderId="2" pivotButton="0" quotePrefix="0" xfId="0"/>
    <xf numFmtId="3" fontId="0" fillId="3" borderId="2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cost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'Dashboard'!C11</f>
            </strRef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prstDash val="solid"/>
            </a:ln>
          </spPr>
          <cat>
            <numRef>
              <f>'Dashboard'!$B$12:$B$23</f>
            </numRef>
          </cat>
          <val>
            <numRef>
              <f>'Dashboard'!$C$12:$C$23</f>
            </numRef>
          </val>
        </ser>
        <ser>
          <idx val="1"/>
          <order val="1"/>
          <tx>
            <strRef>
              <f>'Dashboard'!D11</f>
            </strRef>
          </tx>
          <spPr>
            <a:solidFill xmlns:a="http://schemas.openxmlformats.org/drawingml/2006/main">
              <a:srgbClr val="C9A227"/>
            </a:solidFill>
            <a:ln xmlns:a="http://schemas.openxmlformats.org/drawingml/2006/main">
              <a:prstDash val="solid"/>
            </a:ln>
          </spPr>
          <cat>
            <numRef>
              <f>'Dashboard'!$B$12:$B$23</f>
            </numRef>
          </cat>
          <val>
            <numRef>
              <f>'Dashboard'!$D$12:$D$23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Margin %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'Trend'!B3</f>
            </strRef>
          </tx>
          <spPr>
            <a:ln xmlns:a="http://schemas.openxmlformats.org/drawingml/2006/main" w="28000">
              <a:solidFill>
                <a:srgbClr val="C810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'Trend'!$A$4:$A$15</f>
            </numRef>
          </cat>
          <val>
            <numRef>
              <f>'Trend'!$B$4:$B$15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25</row>
      <rowOff>0</rowOff>
    </from>
    <ext cx="57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" displayName="DataTable" ref="A3:H15" headerRowCount="1">
  <autoFilter ref="A3:H15"/>
  <tableColumns count="8">
    <tableColumn id="1" name="Month"/>
    <tableColumn id="2" name="Revenue"/>
    <tableColumn id="3" name="Cost"/>
    <tableColumn id="4" name="Margin"/>
    <tableColumn id="5" name="Margin %"/>
    <tableColumn id="6" name="Units"/>
    <tableColumn id="7" name="Region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40" customHeight="1">
      <c r="B2" s="1" t="inlineStr">
        <is>
          <t>Revenue Review — Northstar Retail</t>
        </is>
      </c>
    </row>
    <row r="3">
      <c r="B3" s="2" t="inlineStr">
        <is>
          <t>Northstar Retail  ·  prepared 19 October 2026  ·  USD</t>
        </is>
      </c>
    </row>
    <row r="5">
      <c r="B5" s="3" t="inlineStr">
        <is>
          <t>Revenue</t>
        </is>
      </c>
      <c r="C5" s="4" t="n"/>
      <c r="D5" s="3" t="inlineStr">
        <is>
          <t>Gross margin</t>
        </is>
      </c>
      <c r="E5" s="4" t="n"/>
      <c r="F5" s="3" t="inlineStr">
        <is>
          <t>Units</t>
        </is>
      </c>
      <c r="G5" s="4" t="n"/>
      <c r="H5" s="3" t="inlineStr">
        <is>
          <t>Growth</t>
        </is>
      </c>
      <c r="I5" s="4" t="n"/>
    </row>
    <row r="6" ht="30" customHeight="1">
      <c r="B6" s="5">
        <f>SUM(Data!C4:C15)</f>
        <v/>
      </c>
      <c r="C6" s="4" t="n"/>
      <c r="D6" s="6">
        <f>IFERROR((SUM(Data!C4:C15)-SUM(Data!D4:D15))/SUM(Data!C4:C15),0)</f>
        <v/>
      </c>
      <c r="E6" s="4" t="n"/>
      <c r="F6" s="7">
        <f>SUM(Data!G4:G15)</f>
        <v/>
      </c>
      <c r="G6" s="4" t="n"/>
      <c r="H6" s="6">
        <f>IFERROR(Data!C15/Data!C4-1,0)</f>
        <v/>
      </c>
      <c r="I6" s="4" t="n"/>
    </row>
    <row r="7">
      <c r="B7" s="8" t="inlineStr">
        <is>
          <t>Total recognised revenue</t>
        </is>
      </c>
      <c r="C7" s="9" t="n"/>
      <c r="D7" s="8" t="inlineStr">
        <is>
          <t>Revenue less direct cost</t>
        </is>
      </c>
      <c r="E7" s="9" t="n"/>
      <c r="F7" s="8" t="inlineStr">
        <is>
          <t>Units delivered</t>
        </is>
      </c>
      <c r="G7" s="9" t="n"/>
      <c r="H7" s="8" t="inlineStr">
        <is>
          <t>First to last month</t>
        </is>
      </c>
      <c r="I7" s="9" t="n"/>
    </row>
    <row r="10">
      <c r="B10" s="10" t="inlineStr">
        <is>
          <t>Monthly performance</t>
        </is>
      </c>
    </row>
    <row r="11">
      <c r="B11" s="11" t="inlineStr">
        <is>
          <t>Month</t>
        </is>
      </c>
      <c r="C11" s="11" t="inlineStr">
        <is>
          <t>Revenue</t>
        </is>
      </c>
      <c r="D11" s="11" t="inlineStr">
        <is>
          <t>Cost</t>
        </is>
      </c>
      <c r="E11" s="11" t="inlineStr">
        <is>
          <t>Margin</t>
        </is>
      </c>
      <c r="F11" s="11" t="inlineStr">
        <is>
          <t>Margin %</t>
        </is>
      </c>
      <c r="G11" s="11" t="inlineStr">
        <is>
          <t>Units</t>
        </is>
      </c>
      <c r="H11" s="11" t="inlineStr">
        <is>
          <t>Region</t>
        </is>
      </c>
    </row>
    <row r="12">
      <c r="B12" s="12" t="inlineStr">
        <is>
          <t>2026-01</t>
        </is>
      </c>
      <c r="C12" s="13" t="n">
        <v>29041</v>
      </c>
      <c r="D12" s="13" t="n">
        <v>12197</v>
      </c>
      <c r="E12" s="13">
        <f>C12-D12</f>
        <v/>
      </c>
      <c r="F12" s="14">
        <f>IFERROR(E12/C12,0)</f>
        <v/>
      </c>
      <c r="G12" s="15" t="n">
        <v>764</v>
      </c>
      <c r="H12" s="12" t="inlineStr">
        <is>
          <t>North</t>
        </is>
      </c>
    </row>
    <row r="13">
      <c r="B13" s="16" t="inlineStr">
        <is>
          <t>2026-02</t>
        </is>
      </c>
      <c r="C13" s="17" t="n">
        <v>31180</v>
      </c>
      <c r="D13" s="17" t="n">
        <v>13469</v>
      </c>
      <c r="E13" s="17">
        <f>C13-D13</f>
        <v/>
      </c>
      <c r="F13" s="18">
        <f>IFERROR(E13/C13,0)</f>
        <v/>
      </c>
      <c r="G13" s="19" t="n">
        <v>799</v>
      </c>
      <c r="H13" s="16" t="inlineStr">
        <is>
          <t>South</t>
        </is>
      </c>
    </row>
    <row r="14">
      <c r="B14" s="12" t="inlineStr">
        <is>
          <t>2026-03</t>
        </is>
      </c>
      <c r="C14" s="13" t="n">
        <v>33320</v>
      </c>
      <c r="D14" s="13" t="n">
        <v>14794</v>
      </c>
      <c r="E14" s="13">
        <f>C14-D14</f>
        <v/>
      </c>
      <c r="F14" s="14">
        <f>IFERROR(E14/C14,0)</f>
        <v/>
      </c>
      <c r="G14" s="15" t="n">
        <v>833</v>
      </c>
      <c r="H14" s="12" t="inlineStr">
        <is>
          <t>East</t>
        </is>
      </c>
    </row>
    <row r="15">
      <c r="B15" s="16" t="inlineStr">
        <is>
          <t>2026-04</t>
        </is>
      </c>
      <c r="C15" s="17" t="n">
        <v>35459</v>
      </c>
      <c r="D15" s="17" t="n">
        <v>16169</v>
      </c>
      <c r="E15" s="17">
        <f>C15-D15</f>
        <v/>
      </c>
      <c r="F15" s="18">
        <f>IFERROR(E15/C15,0)</f>
        <v/>
      </c>
      <c r="G15" s="19" t="n">
        <v>864</v>
      </c>
      <c r="H15" s="16" t="inlineStr">
        <is>
          <t>West</t>
        </is>
      </c>
    </row>
    <row r="16">
      <c r="B16" s="12" t="inlineStr">
        <is>
          <t>2026-05</t>
        </is>
      </c>
      <c r="C16" s="13" t="n">
        <v>33999</v>
      </c>
      <c r="D16" s="13" t="n">
        <v>15911</v>
      </c>
      <c r="E16" s="13">
        <f>C16-D16</f>
        <v/>
      </c>
      <c r="F16" s="14">
        <f>IFERROR(E16/C16,0)</f>
        <v/>
      </c>
      <c r="G16" s="15" t="n">
        <v>809</v>
      </c>
      <c r="H16" s="12" t="inlineStr">
        <is>
          <t>North</t>
        </is>
      </c>
    </row>
    <row r="17">
      <c r="B17" s="16" t="inlineStr">
        <is>
          <t>2026-06</t>
        </is>
      </c>
      <c r="C17" s="17" t="n">
        <v>36138</v>
      </c>
      <c r="D17" s="17" t="n">
        <v>15177</v>
      </c>
      <c r="E17" s="17">
        <f>C17-D17</f>
        <v/>
      </c>
      <c r="F17" s="18">
        <f>IFERROR(E17/C17,0)</f>
        <v/>
      </c>
      <c r="G17" s="19" t="n">
        <v>840</v>
      </c>
      <c r="H17" s="16" t="inlineStr">
        <is>
          <t>South</t>
        </is>
      </c>
    </row>
    <row r="18">
      <c r="B18" s="12" t="inlineStr">
        <is>
          <t>2026-07</t>
        </is>
      </c>
      <c r="C18" s="13" t="n">
        <v>38278</v>
      </c>
      <c r="D18" s="13" t="n">
        <v>16536</v>
      </c>
      <c r="E18" s="13">
        <f>C18-D18</f>
        <v/>
      </c>
      <c r="F18" s="14">
        <f>IFERROR(E18/C18,0)</f>
        <v/>
      </c>
      <c r="G18" s="15" t="n">
        <v>1007</v>
      </c>
      <c r="H18" s="12" t="inlineStr">
        <is>
          <t>East</t>
        </is>
      </c>
    </row>
    <row r="19">
      <c r="B19" s="16" t="inlineStr">
        <is>
          <t>2026-08</t>
        </is>
      </c>
      <c r="C19" s="17" t="n">
        <v>40418</v>
      </c>
      <c r="D19" s="17" t="n">
        <v>17945</v>
      </c>
      <c r="E19" s="17">
        <f>C19-D19</f>
        <v/>
      </c>
      <c r="F19" s="18">
        <f>IFERROR(E19/C19,0)</f>
        <v/>
      </c>
      <c r="G19" s="19" t="n">
        <v>1036</v>
      </c>
      <c r="H19" s="16" t="inlineStr">
        <is>
          <t>West</t>
        </is>
      </c>
    </row>
    <row r="20">
      <c r="B20" s="12" t="inlineStr">
        <is>
          <t>2026-09</t>
        </is>
      </c>
      <c r="C20" s="13" t="n">
        <v>38957</v>
      </c>
      <c r="D20" s="13" t="n">
        <v>17764</v>
      </c>
      <c r="E20" s="13">
        <f>C20-D20</f>
        <v/>
      </c>
      <c r="F20" s="14">
        <f>IFERROR(E20/C20,0)</f>
        <v/>
      </c>
      <c r="G20" s="15" t="n">
        <v>973</v>
      </c>
      <c r="H20" s="12" t="inlineStr">
        <is>
          <t>North</t>
        </is>
      </c>
    </row>
    <row r="21">
      <c r="B21" s="16" t="inlineStr">
        <is>
          <t>2026-10</t>
        </is>
      </c>
      <c r="C21" s="17" t="n">
        <v>41097</v>
      </c>
      <c r="D21" s="17" t="n">
        <v>19233</v>
      </c>
      <c r="E21" s="17">
        <f>C21-D21</f>
        <v/>
      </c>
      <c r="F21" s="18">
        <f>IFERROR(E21/C21,0)</f>
        <v/>
      </c>
      <c r="G21" s="19" t="n">
        <v>1002</v>
      </c>
      <c r="H21" s="16" t="inlineStr">
        <is>
          <t>South</t>
        </is>
      </c>
    </row>
    <row r="22">
      <c r="B22" s="12" t="inlineStr">
        <is>
          <t>2026-11</t>
        </is>
      </c>
      <c r="C22" s="13" t="n">
        <v>43236</v>
      </c>
      <c r="D22" s="13" t="n">
        <v>18159</v>
      </c>
      <c r="E22" s="13">
        <f>C22-D22</f>
        <v/>
      </c>
      <c r="F22" s="14">
        <f>IFERROR(E22/C22,0)</f>
        <v/>
      </c>
      <c r="G22" s="15" t="n">
        <v>1029</v>
      </c>
      <c r="H22" s="12" t="inlineStr">
        <is>
          <t>East</t>
        </is>
      </c>
    </row>
    <row r="23">
      <c r="B23" s="16" t="inlineStr">
        <is>
          <t>2026-12</t>
        </is>
      </c>
      <c r="C23" s="17" t="n">
        <v>45376</v>
      </c>
      <c r="D23" s="17" t="n">
        <v>19602</v>
      </c>
      <c r="E23" s="17">
        <f>C23-D23</f>
        <v/>
      </c>
      <c r="F23" s="18">
        <f>IFERROR(E23/C23,0)</f>
        <v/>
      </c>
      <c r="G23" s="19" t="n">
        <v>1055</v>
      </c>
      <c r="H23" s="16" t="inlineStr">
        <is>
          <t>West</t>
        </is>
      </c>
    </row>
    <row r="24">
      <c r="B24" s="20" t="inlineStr">
        <is>
          <t>Total</t>
        </is>
      </c>
      <c r="C24" s="21">
        <f>SUM(C12:C23)</f>
        <v/>
      </c>
      <c r="D24" s="22">
        <f>SUM(D12:D23)</f>
        <v/>
      </c>
      <c r="E24" s="21">
        <f>C24-D24</f>
        <v/>
      </c>
      <c r="F24" s="23">
        <f>IFERROR(E24/C24,0)</f>
        <v/>
      </c>
      <c r="G24" s="22">
        <f>SUM(G12:G23)</f>
        <v/>
      </c>
      <c r="H24" s="24" t="n"/>
    </row>
  </sheetData>
  <mergeCells count="14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B2:H2"/>
    <mergeCell ref="F6:G6"/>
    <mergeCell ref="H5:I5"/>
    <mergeCell ref="B3:H3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25" t="inlineStr">
        <is>
          <t>Margin % by month</t>
        </is>
      </c>
    </row>
    <row r="3">
      <c r="A3" s="26" t="inlineStr">
        <is>
          <t>Month</t>
        </is>
      </c>
      <c r="B3" s="26" t="inlineStr">
        <is>
          <t>Margin %</t>
        </is>
      </c>
    </row>
    <row r="4">
      <c r="A4" s="27" t="inlineStr">
        <is>
          <t>2026-01</t>
        </is>
      </c>
      <c r="B4" s="28">
        <f>'Dashboard'!F12</f>
        <v/>
      </c>
    </row>
    <row r="5">
      <c r="A5" s="27" t="inlineStr">
        <is>
          <t>2026-02</t>
        </is>
      </c>
      <c r="B5" s="28">
        <f>'Dashboard'!F13</f>
        <v/>
      </c>
    </row>
    <row r="6">
      <c r="A6" s="27" t="inlineStr">
        <is>
          <t>2026-03</t>
        </is>
      </c>
      <c r="B6" s="28">
        <f>'Dashboard'!F14</f>
        <v/>
      </c>
    </row>
    <row r="7">
      <c r="A7" s="27" t="inlineStr">
        <is>
          <t>2026-04</t>
        </is>
      </c>
      <c r="B7" s="28">
        <f>'Dashboard'!F15</f>
        <v/>
      </c>
    </row>
    <row r="8">
      <c r="A8" s="27" t="inlineStr">
        <is>
          <t>2026-05</t>
        </is>
      </c>
      <c r="B8" s="28">
        <f>'Dashboard'!F16</f>
        <v/>
      </c>
    </row>
    <row r="9">
      <c r="A9" s="27" t="inlineStr">
        <is>
          <t>2026-06</t>
        </is>
      </c>
      <c r="B9" s="28">
        <f>'Dashboard'!F17</f>
        <v/>
      </c>
    </row>
    <row r="10">
      <c r="A10" s="27" t="inlineStr">
        <is>
          <t>2026-07</t>
        </is>
      </c>
      <c r="B10" s="28">
        <f>'Dashboard'!F18</f>
        <v/>
      </c>
    </row>
    <row r="11">
      <c r="A11" s="27" t="inlineStr">
        <is>
          <t>2026-08</t>
        </is>
      </c>
      <c r="B11" s="28">
        <f>'Dashboard'!F19</f>
        <v/>
      </c>
    </row>
    <row r="12">
      <c r="A12" s="27" t="inlineStr">
        <is>
          <t>2026-09</t>
        </is>
      </c>
      <c r="B12" s="28">
        <f>'Dashboard'!F20</f>
        <v/>
      </c>
    </row>
    <row r="13">
      <c r="A13" s="27" t="inlineStr">
        <is>
          <t>2026-10</t>
        </is>
      </c>
      <c r="B13" s="28">
        <f>'Dashboard'!F21</f>
        <v/>
      </c>
    </row>
    <row r="14">
      <c r="A14" s="27" t="inlineStr">
        <is>
          <t>2026-11</t>
        </is>
      </c>
      <c r="B14" s="28">
        <f>'Dashboard'!F22</f>
        <v/>
      </c>
    </row>
    <row r="15">
      <c r="A15" s="27" t="inlineStr">
        <is>
          <t>2026-12</t>
        </is>
      </c>
      <c r="B15" s="28">
        <f>'Dashboard'!F23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8" customWidth="1" min="8" max="8"/>
  </cols>
  <sheetData>
    <row r="1">
      <c r="A1" s="25" t="inlineStr">
        <is>
          <t>Monthly performance</t>
        </is>
      </c>
    </row>
    <row r="2">
      <c r="A2" s="29" t="inlineStr">
        <is>
          <t>Edit Revenue and Cost; every dashboard formula recalculates.</t>
        </is>
      </c>
    </row>
    <row r="3">
      <c r="A3" s="26" t="inlineStr">
        <is>
          <t>Month</t>
        </is>
      </c>
      <c r="B3" s="26" t="inlineStr">
        <is>
          <t>Revenue</t>
        </is>
      </c>
      <c r="C3" s="26" t="inlineStr">
        <is>
          <t>Cost</t>
        </is>
      </c>
      <c r="D3" s="26" t="inlineStr">
        <is>
          <t>Margin</t>
        </is>
      </c>
      <c r="E3" s="26" t="inlineStr">
        <is>
          <t>Margin %</t>
        </is>
      </c>
      <c r="F3" s="26" t="inlineStr">
        <is>
          <t>Units</t>
        </is>
      </c>
      <c r="G3" s="26" t="inlineStr">
        <is>
          <t>Region</t>
        </is>
      </c>
      <c r="H3" s="26" t="inlineStr">
        <is>
          <t>Notes</t>
        </is>
      </c>
    </row>
    <row r="4">
      <c r="A4" s="27" t="inlineStr">
        <is>
          <t>2026-01</t>
        </is>
      </c>
      <c r="B4" s="30" t="n">
        <v>29041</v>
      </c>
      <c r="C4" s="30" t="n">
        <v>12197</v>
      </c>
      <c r="D4" s="30">
        <f>C4-D4</f>
        <v/>
      </c>
      <c r="E4" s="28">
        <f>IFERROR(E4/C4,0)</f>
        <v/>
      </c>
      <c r="F4" s="31" t="n">
        <v>764</v>
      </c>
      <c r="G4" s="27" t="inlineStr">
        <is>
          <t>North</t>
        </is>
      </c>
      <c r="H4" s="27" t="inlineStr">
        <is>
          <t>Baseline</t>
        </is>
      </c>
    </row>
    <row r="5">
      <c r="A5" s="27" t="inlineStr">
        <is>
          <t>2026-02</t>
        </is>
      </c>
      <c r="B5" s="30" t="n">
        <v>31180</v>
      </c>
      <c r="C5" s="30" t="n">
        <v>13469</v>
      </c>
      <c r="D5" s="30">
        <f>C5-D5</f>
        <v/>
      </c>
      <c r="E5" s="28">
        <f>IFERROR(E5/C5,0)</f>
        <v/>
      </c>
      <c r="F5" s="31" t="n">
        <v>799</v>
      </c>
      <c r="G5" s="27" t="inlineStr">
        <is>
          <t>South</t>
        </is>
      </c>
      <c r="H5" s="27" t="inlineStr">
        <is>
          <t>New listing</t>
        </is>
      </c>
    </row>
    <row r="6">
      <c r="A6" s="27" t="inlineStr">
        <is>
          <t>2026-03</t>
        </is>
      </c>
      <c r="B6" s="30" t="n">
        <v>33320</v>
      </c>
      <c r="C6" s="30" t="n">
        <v>14794</v>
      </c>
      <c r="D6" s="30">
        <f>C6-D6</f>
        <v/>
      </c>
      <c r="E6" s="28">
        <f>IFERROR(E6/C6,0)</f>
        <v/>
      </c>
      <c r="F6" s="31" t="n">
        <v>833</v>
      </c>
      <c r="G6" s="27" t="inlineStr">
        <is>
          <t>East</t>
        </is>
      </c>
      <c r="H6" s="27" t="inlineStr">
        <is>
          <t>Price test</t>
        </is>
      </c>
    </row>
    <row r="7">
      <c r="A7" s="27" t="inlineStr">
        <is>
          <t>2026-04</t>
        </is>
      </c>
      <c r="B7" s="30" t="n">
        <v>35459</v>
      </c>
      <c r="C7" s="30" t="n">
        <v>16169</v>
      </c>
      <c r="D7" s="30">
        <f>C7-D7</f>
        <v/>
      </c>
      <c r="E7" s="28">
        <f>IFERROR(E7/C7,0)</f>
        <v/>
      </c>
      <c r="F7" s="31" t="n">
        <v>864</v>
      </c>
      <c r="G7" s="27" t="inlineStr">
        <is>
          <t>West</t>
        </is>
      </c>
      <c r="H7" s="27" t="inlineStr">
        <is>
          <t>Campaign</t>
        </is>
      </c>
    </row>
    <row r="8">
      <c r="A8" s="27" t="inlineStr">
        <is>
          <t>2026-05</t>
        </is>
      </c>
      <c r="B8" s="30" t="n">
        <v>33999</v>
      </c>
      <c r="C8" s="30" t="n">
        <v>15911</v>
      </c>
      <c r="D8" s="30">
        <f>C8-D8</f>
        <v/>
      </c>
      <c r="E8" s="28">
        <f>IFERROR(E8/C8,0)</f>
        <v/>
      </c>
      <c r="F8" s="31" t="n">
        <v>809</v>
      </c>
      <c r="G8" s="27" t="inlineStr">
        <is>
          <t>North</t>
        </is>
      </c>
      <c r="H8" s="27" t="inlineStr">
        <is>
          <t>Baseline</t>
        </is>
      </c>
    </row>
    <row r="9">
      <c r="A9" s="27" t="inlineStr">
        <is>
          <t>2026-06</t>
        </is>
      </c>
      <c r="B9" s="30" t="n">
        <v>36138</v>
      </c>
      <c r="C9" s="30" t="n">
        <v>15177</v>
      </c>
      <c r="D9" s="30">
        <f>C9-D9</f>
        <v/>
      </c>
      <c r="E9" s="28">
        <f>IFERROR(E9/C9,0)</f>
        <v/>
      </c>
      <c r="F9" s="31" t="n">
        <v>840</v>
      </c>
      <c r="G9" s="27" t="inlineStr">
        <is>
          <t>South</t>
        </is>
      </c>
      <c r="H9" s="27" t="inlineStr">
        <is>
          <t>Campaign</t>
        </is>
      </c>
    </row>
    <row r="10">
      <c r="A10" s="27" t="inlineStr">
        <is>
          <t>2026-07</t>
        </is>
      </c>
      <c r="B10" s="30" t="n">
        <v>38278</v>
      </c>
      <c r="C10" s="30" t="n">
        <v>16536</v>
      </c>
      <c r="D10" s="30">
        <f>C10-D10</f>
        <v/>
      </c>
      <c r="E10" s="28">
        <f>IFERROR(E10/C10,0)</f>
        <v/>
      </c>
      <c r="F10" s="31" t="n">
        <v>1007</v>
      </c>
      <c r="G10" s="27" t="inlineStr">
        <is>
          <t>East</t>
        </is>
      </c>
      <c r="H10" s="27" t="inlineStr">
        <is>
          <t>New region</t>
        </is>
      </c>
    </row>
    <row r="11">
      <c r="A11" s="27" t="inlineStr">
        <is>
          <t>2026-08</t>
        </is>
      </c>
      <c r="B11" s="30" t="n">
        <v>40418</v>
      </c>
      <c r="C11" s="30" t="n">
        <v>17945</v>
      </c>
      <c r="D11" s="30">
        <f>C11-D11</f>
        <v/>
      </c>
      <c r="E11" s="28">
        <f>IFERROR(E11/C11,0)</f>
        <v/>
      </c>
      <c r="F11" s="31" t="n">
        <v>1036</v>
      </c>
      <c r="G11" s="27" t="inlineStr">
        <is>
          <t>West</t>
        </is>
      </c>
      <c r="H11" s="27" t="inlineStr">
        <is>
          <t>Baseline</t>
        </is>
      </c>
    </row>
    <row r="12">
      <c r="A12" s="27" t="inlineStr">
        <is>
          <t>2026-09</t>
        </is>
      </c>
      <c r="B12" s="30" t="n">
        <v>38957</v>
      </c>
      <c r="C12" s="30" t="n">
        <v>17764</v>
      </c>
      <c r="D12" s="30">
        <f>C12-D12</f>
        <v/>
      </c>
      <c r="E12" s="28">
        <f>IFERROR(E12/C12,0)</f>
        <v/>
      </c>
      <c r="F12" s="31" t="n">
        <v>973</v>
      </c>
      <c r="G12" s="27" t="inlineStr">
        <is>
          <t>North</t>
        </is>
      </c>
      <c r="H12" s="27" t="inlineStr">
        <is>
          <t>Price test</t>
        </is>
      </c>
    </row>
    <row r="13">
      <c r="A13" s="27" t="inlineStr">
        <is>
          <t>2026-10</t>
        </is>
      </c>
      <c r="B13" s="30" t="n">
        <v>41097</v>
      </c>
      <c r="C13" s="30" t="n">
        <v>19233</v>
      </c>
      <c r="D13" s="30">
        <f>C13-D13</f>
        <v/>
      </c>
      <c r="E13" s="28">
        <f>IFERROR(E13/C13,0)</f>
        <v/>
      </c>
      <c r="F13" s="31" t="n">
        <v>1002</v>
      </c>
      <c r="G13" s="27" t="inlineStr">
        <is>
          <t>South</t>
        </is>
      </c>
      <c r="H13" s="27" t="inlineStr">
        <is>
          <t>Campaign</t>
        </is>
      </c>
    </row>
    <row r="14">
      <c r="A14" s="27" t="inlineStr">
        <is>
          <t>2026-11</t>
        </is>
      </c>
      <c r="B14" s="30" t="n">
        <v>43236</v>
      </c>
      <c r="C14" s="30" t="n">
        <v>18159</v>
      </c>
      <c r="D14" s="30">
        <f>C14-D14</f>
        <v/>
      </c>
      <c r="E14" s="28">
        <f>IFERROR(E14/C14,0)</f>
        <v/>
      </c>
      <c r="F14" s="31" t="n">
        <v>1029</v>
      </c>
      <c r="G14" s="27" t="inlineStr">
        <is>
          <t>East</t>
        </is>
      </c>
      <c r="H14" s="27" t="inlineStr">
        <is>
          <t>Baseline</t>
        </is>
      </c>
    </row>
    <row r="15">
      <c r="A15" s="27" t="inlineStr">
        <is>
          <t>2026-12</t>
        </is>
      </c>
      <c r="B15" s="30" t="n">
        <v>45376</v>
      </c>
      <c r="C15" s="30" t="n">
        <v>19602</v>
      </c>
      <c r="D15" s="30">
        <f>C15-D15</f>
        <v/>
      </c>
      <c r="E15" s="28">
        <f>IFERROR(E15/C15,0)</f>
        <v/>
      </c>
      <c r="F15" s="31" t="n">
        <v>1055</v>
      </c>
      <c r="G15" s="27" t="inlineStr">
        <is>
          <t>West</t>
        </is>
      </c>
      <c r="H15" s="27" t="inlineStr">
        <is>
          <t>Year end</t>
        </is>
      </c>
    </row>
  </sheetData>
  <autoFilter ref="A3:H15"/>
  <conditionalFormatting sqref="D4:D15">
    <cfRule type="dataBar" priority="1">
      <dataBar>
        <cfvo type="min"/>
        <cfvo type="max"/>
        <color rgb="00C9A227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25" t="inlineStr">
        <is>
          <t>Assumptions and controls</t>
        </is>
      </c>
    </row>
    <row r="3">
      <c r="A3" s="32" t="inlineStr">
        <is>
          <t>Tax rate</t>
        </is>
      </c>
      <c r="B3" s="33" t="n">
        <v>0.08</v>
      </c>
    </row>
    <row r="4">
      <c r="A4" s="32" t="inlineStr">
        <is>
          <t>Growth assumption</t>
        </is>
      </c>
      <c r="B4" s="33" t="n">
        <v>0.12</v>
      </c>
    </row>
    <row r="5">
      <c r="A5" s="32" t="inlineStr">
        <is>
          <t>Cost inflation</t>
        </is>
      </c>
      <c r="B5" s="33" t="n">
        <v>0.04</v>
      </c>
    </row>
    <row r="6">
      <c r="A6" s="32" t="inlineStr">
        <is>
          <t>Units per day (plan)</t>
        </is>
      </c>
      <c r="B6" s="34" t="n">
        <v>10</v>
      </c>
    </row>
    <row r="7">
      <c r="A7" s="32" t="inlineStr">
        <is>
          <t>Contingency</t>
        </is>
      </c>
      <c r="B7" s="33" t="n">
        <v>0.1</v>
      </c>
    </row>
    <row r="10">
      <c r="A10" s="35" t="inlineStr">
        <is>
          <t>Notes</t>
        </is>
      </c>
    </row>
    <row r="11">
      <c r="A11" s="29" t="inlineStr">
        <is>
          <t>All values are fictional and internally consistent for demonstration.</t>
        </is>
      </c>
    </row>
    <row r="12">
      <c r="A12" s="29" t="inlineStr">
        <is>
          <t>Dashboard totals use live formulas; edits in Data recalculate the view.</t>
        </is>
      </c>
    </row>
    <row r="13">
      <c r="A13" s="29" t="inlineStr">
        <is>
          <t>No external links, macros or cached secrets are present in this workbook.</t>
        </is>
      </c>
    </row>
    <row r="14">
      <c r="A14" s="29" t="inlineStr">
        <is>
          <t>Workbook mode: revenue; chart series are bound to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2026-10-19T09:42:07Z</dcterms:created>
  <dcterms:modified xmlns:dcterms="http://purl.org/dc/terms/" xmlns:xsi="http://www.w3.org/2001/XMLSchema-instance" xsi:type="dcterms:W3CDTF">2026-10-19T09:42:07Z</dcterms:modified>
</cp:coreProperties>
</file>